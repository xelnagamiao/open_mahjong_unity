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<sst xmlns="http://schemas.openxmlformats.org/spreadsheetml/2006/main" count="184" uniqueCount="77">
  <si>
    <t>9, 1, -3, -7</t>
  </si>
  <si>
    <t>初级场</t>
  </si>
  <si>
    <t>10级及以上</t>
  </si>
  <si>
    <t>有提示 无错和</t>
  </si>
  <si>
    <t>中级场</t>
  </si>
  <si>
    <t>1级及以上</t>
  </si>
  <si>
    <t>无提示 错和</t>
  </si>
  <si>
    <t>分段</t>
  </si>
  <si>
    <t>起始分数</t>
  </si>
  <si>
    <t>升段分数</t>
  </si>
  <si>
    <t>掉段</t>
  </si>
  <si>
    <t>初级场均得pt</t>
  </si>
  <si>
    <t>均失pt</t>
  </si>
  <si>
    <t>均得系数(正负和)</t>
  </si>
  <si>
    <t>高级场</t>
  </si>
  <si>
    <t>四段及以上</t>
  </si>
  <si>
    <t>无提示 无指针提示 错和 战术鸣牌</t>
  </si>
  <si>
    <t>10级</t>
  </si>
  <si>
    <t>无</t>
  </si>
  <si>
    <t>MCRPL</t>
  </si>
  <si>
    <t>达到salasasa七段、专业五段以上并实名</t>
  </si>
  <si>
    <t>无提示 无指针提示 错和 战术鸣牌 禁止聊天 仅PC</t>
  </si>
  <si>
    <t>9级</t>
  </si>
  <si>
    <t>8级</t>
  </si>
  <si>
    <t>计分系数 0.8均得pt，0.2均得pt，-0.3均失pt，-0.7均失pt</t>
  </si>
  <si>
    <t>7级</t>
  </si>
  <si>
    <t>6级</t>
  </si>
  <si>
    <t>全庄均得系数</t>
  </si>
  <si>
    <t>5级</t>
  </si>
  <si>
    <t>初级场(全庄)</t>
  </si>
  <si>
    <t>4级</t>
  </si>
  <si>
    <t>中级场(全庄)</t>
  </si>
  <si>
    <t>3级</t>
  </si>
  <si>
    <t>有</t>
  </si>
  <si>
    <t>高级场(全庄)</t>
  </si>
  <si>
    <t>2级</t>
  </si>
  <si>
    <t>MCRPL(全庄)</t>
  </si>
  <si>
    <t>中级场均得pt</t>
  </si>
  <si>
    <t>半庄均得系数</t>
  </si>
  <si>
    <t>1级</t>
  </si>
  <si>
    <t>初级场(半庄)</t>
  </si>
  <si>
    <t>初段</t>
  </si>
  <si>
    <t>中级场(半庄)</t>
  </si>
  <si>
    <t>二段</t>
  </si>
  <si>
    <t>高级场(半庄)</t>
  </si>
  <si>
    <t>三段</t>
  </si>
  <si>
    <t>MCRPL(半庄)</t>
  </si>
  <si>
    <t>高级场均得pt</t>
  </si>
  <si>
    <t>东风均得系数</t>
  </si>
  <si>
    <t>四段</t>
  </si>
  <si>
    <t>初级场(东风)</t>
  </si>
  <si>
    <t>五段</t>
  </si>
  <si>
    <t>中级场(东风)</t>
  </si>
  <si>
    <t>六段</t>
  </si>
  <si>
    <t>高级场(东风)</t>
  </si>
  <si>
    <t>MCRPL均得pt</t>
  </si>
  <si>
    <t>MCRPL(东风)</t>
  </si>
  <si>
    <t>七段</t>
  </si>
  <si>
    <t>八段</t>
  </si>
  <si>
    <t>九段</t>
  </si>
  <si>
    <t>十段</t>
  </si>
  <si>
    <t>保留称号</t>
  </si>
  <si>
    <t>天凤数据参考 平台的段位需要比天凤稍且严格</t>
  </si>
  <si>
    <t>均得pt</t>
  </si>
  <si>
    <t>均得系数</t>
  </si>
  <si>
    <t>计分系数</t>
  </si>
  <si>
    <t>场阶</t>
  </si>
  <si>
    <t>1位:0.8均得pt</t>
  </si>
  <si>
    <t>2位:0.2均得pt</t>
  </si>
  <si>
    <t>3位:-0.3均失pt</t>
  </si>
  <si>
    <t>4位：-0.7均失pt</t>
  </si>
  <si>
    <t>-0.3*均失系数*1</t>
  </si>
  <si>
    <t>-0.7*均失系数*1</t>
  </si>
  <si>
    <t>-0.3*均失系数*0.7</t>
  </si>
  <si>
    <t>-0.7*均失系数*0.7</t>
  </si>
  <si>
    <t>-0.3*均失系数*0.49</t>
  </si>
  <si>
    <t>-0.7*均失系数*0.49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</si>
</sst>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theme="5"/>
      </left>
      <right style="thin">
        <color theme="5" tint="0.399975585192419"/>
      </right>
      <top style="thin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/>
      <top style="thin">
        <color theme="5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thin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/>
      </top>
      <bottom style="thin">
        <color theme="5" tint="0.399975585192419"/>
      </bottom>
      <diagonal/>
    </border>
    <border>
      <left style="thin">
        <color theme="5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/>
      </left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  <border>
      <left style="thin">
        <color theme="5" tint="0.399975585192419"/>
      </left>
      <right style="thin">
        <color theme="5"/>
      </right>
      <top style="thin">
        <color theme="5" tint="0.399975585192419"/>
      </top>
      <bottom style="thin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75585192419"/>
      </left>
      <right style="thin">
        <color theme="5"/>
      </right>
      <top style="thin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/>
      <top style="thin">
        <color theme="5" tint="0.399975585192419"/>
      </top>
      <bottom style="thin">
        <color theme="5"/>
      </bottom>
      <diagonal/>
    </border>
    <border>
      <left/>
      <right/>
      <top style="thin">
        <color theme="5" tint="0.399975585192419"/>
      </top>
      <bottom style="thin">
        <color theme="5"/>
      </bottom>
      <diagonal/>
    </border>
    <border>
      <left/>
      <right style="thin">
        <color theme="5"/>
      </right>
      <top style="thin">
        <color theme="5" tint="0.399975585192419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7">
      <alignment vertical="center"/>
    </xf>
    <xf numFmtId="0" fontId="7" fillId="0" borderId="17">
      <alignment vertical="center"/>
    </xf>
    <xf numFmtId="0" fontId="8" fillId="0" borderId="18">
      <alignment vertical="center"/>
    </xf>
    <xf numFmtId="0" fontId="8" fillId="0" borderId="0">
      <alignment vertical="center"/>
    </xf>
    <xf numFmtId="0" fontId="9" fillId="7" borderId="19">
      <alignment vertical="center"/>
    </xf>
    <xf numFmtId="0" fontId="10" fillId="8" borderId="20">
      <alignment vertical="center"/>
    </xf>
    <xf numFmtId="0" fontId="11" fillId="8" borderId="19">
      <alignment vertical="center"/>
    </xf>
    <xf numFmtId="0" fontId="12" fillId="9" borderId="21">
      <alignment vertical="center"/>
    </xf>
    <xf numFmtId="0" fontId="13" fillId="0" borderId="22">
      <alignment vertical="center"/>
    </xf>
    <xf numFmtId="0" fontId="14" fillId="0" borderId="23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3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49" fontId="0" fillId="3" borderId="9" xfId="0" applyNumberFormat="1" applyFont="1" applyFill="1" applyBorder="1" applyAlignment="1">
      <alignment horizontal="center" vertical="center"/>
    </xf>
    <xf numFmtId="49" fontId="0" fillId="3" borderId="1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11" xfId="0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54"/>
  <sheetViews>
    <sheetView tabSelected="1" topLeftCell="B8" workbookViewId="0">
      <selection activeCell="C27" sqref="B4:H27"/>
    </sheetView>
  </sheetViews>
  <sheetFormatPr defaultColWidth="9" defaultRowHeight="13.5"/>
  <cols>
    <col min="6" max="6" width="13.25" customWidth="1"/>
    <col min="8" max="8" width="15.625" customWidth="1"/>
    <col min="9" max="9" width="7.125" customWidth="1"/>
    <col min="10" max="10" width="12.25" customWidth="1"/>
    <col min="14" max="14" width="5.5" style="20" customWidth="1"/>
    <col min="15" max="15" width="5.5" customWidth="1"/>
    <col min="16" max="16" width="5.5" style="20" customWidth="1"/>
    <col min="17" max="17" width="5.5" customWidth="1"/>
    <col min="18" max="18" width="5.5" style="20" customWidth="1"/>
    <col min="19" max="19" width="5.5" customWidth="1"/>
    <col min="20" max="20" width="5.5" style="20" customWidth="1"/>
    <col min="21" max="21" width="5.5" customWidth="1"/>
    <col min="22" max="22" width="5.875" customWidth="1"/>
  </cols>
  <sheetData>
    <row r="2" spans="2:23">
      <c r="F2" t="s">
        <v>0</v>
      </c>
      <c r="J2" s="21" t="s">
        <v>1</v>
      </c>
      <c r="K2" s="21" t="s">
        <v>2</v>
      </c>
      <c r="L2" s="21"/>
      <c r="M2" s="21"/>
      <c r="N2" s="21"/>
      <c r="O2" s="21"/>
      <c r="P2" s="21" t="s">
        <v>3</v>
      </c>
      <c r="Q2" s="21"/>
      <c r="R2" s="21"/>
      <c r="S2" s="21"/>
      <c r="T2" s="21"/>
      <c r="U2" s="21"/>
      <c r="V2" s="21"/>
      <c r="W2" s="21"/>
    </row>
    <row r="3" spans="2:23">
      <c r="J3" s="21" t="s">
        <v>4</v>
      </c>
      <c r="K3" s="21" t="s">
        <v>5</v>
      </c>
      <c r="L3" s="21"/>
      <c r="M3" s="21"/>
      <c r="N3" s="21"/>
      <c r="O3" s="21"/>
      <c r="P3" s="21" t="s">
        <v>6</v>
      </c>
      <c r="Q3" s="21"/>
      <c r="R3" s="21"/>
      <c r="S3" s="21"/>
      <c r="T3" s="21"/>
      <c r="U3" s="21"/>
      <c r="V3" s="21"/>
      <c r="W3" s="21"/>
    </row>
    <row r="4" ht="18" customHeight="1" spans="2:23">
      <c r="B4" s="2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22" t="s">
        <v>12</v>
      </c>
      <c r="H4" s="22" t="s">
        <v>13</v>
      </c>
      <c r="I4" s="23"/>
      <c r="J4" s="21" t="s">
        <v>14</v>
      </c>
      <c r="K4" s="21" t="s">
        <v>15</v>
      </c>
      <c r="L4" s="21"/>
      <c r="M4" s="21"/>
      <c r="N4" s="21"/>
      <c r="O4" s="21"/>
      <c r="P4" s="21" t="s">
        <v>16</v>
      </c>
      <c r="Q4" s="21"/>
      <c r="R4" s="21"/>
      <c r="S4" s="21"/>
      <c r="T4" s="21"/>
      <c r="U4" s="21"/>
      <c r="V4" s="21"/>
      <c r="W4" s="21"/>
    </row>
    <row r="5" ht="18" customHeight="1" spans="2:23">
      <c r="B5" s="6" t="s">
        <v>17</v>
      </c>
      <c r="C5" s="7">
        <v>0</v>
      </c>
      <c r="D5" s="7">
        <v>20</v>
      </c>
      <c r="E5" s="7" t="s">
        <v>18</v>
      </c>
      <c r="F5" s="7">
        <f>J$10</f>
        <v>30</v>
      </c>
      <c r="G5" s="9">
        <v>0</v>
      </c>
      <c r="H5" s="9">
        <f>(F5-G5)/F5</f>
        <v>1</v>
      </c>
      <c r="I5" s="23"/>
      <c r="J5" s="21" t="s">
        <v>19</v>
      </c>
      <c r="K5" s="24" t="s">
        <v>20</v>
      </c>
      <c r="L5" s="24"/>
      <c r="M5" s="24">
        <v>1</v>
      </c>
      <c r="N5" s="24"/>
      <c r="O5" s="24"/>
      <c r="P5" s="21" t="s">
        <v>21</v>
      </c>
      <c r="Q5" s="21"/>
      <c r="R5" s="21"/>
      <c r="S5" s="21"/>
      <c r="T5" s="21"/>
      <c r="U5" s="21"/>
      <c r="V5" s="21"/>
      <c r="W5" s="21"/>
    </row>
    <row r="6" ht="18" customHeight="1" spans="2:23">
      <c r="B6" s="10" t="s">
        <v>22</v>
      </c>
      <c r="C6" s="11">
        <v>0</v>
      </c>
      <c r="D6" s="11">
        <v>20</v>
      </c>
      <c r="E6" s="11" t="s">
        <v>18</v>
      </c>
      <c r="F6" s="11">
        <f t="shared" ref="F6:F13" si="0">J$10</f>
        <v>30</v>
      </c>
      <c r="G6" s="15">
        <v>0</v>
      </c>
      <c r="H6" s="15">
        <f t="shared" ref="H6:H26" si="1">(F6-G6)/F6</f>
        <v>1</v>
      </c>
      <c r="J6" s="23"/>
      <c r="K6" s="23"/>
      <c r="L6" s="23"/>
      <c r="M6" s="23"/>
      <c r="N6" s="25"/>
      <c r="O6" s="23"/>
      <c r="P6" s="25"/>
      <c r="Q6" s="23"/>
      <c r="R6" s="25"/>
      <c r="S6" s="23"/>
      <c r="T6" s="25"/>
      <c r="U6" s="23"/>
    </row>
    <row r="7" ht="18" customHeight="1" spans="2:23">
      <c r="B7" s="6" t="s">
        <v>23</v>
      </c>
      <c r="C7" s="7">
        <v>0</v>
      </c>
      <c r="D7" s="7">
        <v>20</v>
      </c>
      <c r="E7" s="7" t="s">
        <v>18</v>
      </c>
      <c r="F7" s="7">
        <f t="shared" si="0"/>
        <v>30</v>
      </c>
      <c r="G7" s="9">
        <v>0</v>
      </c>
      <c r="H7" s="9">
        <f t="shared" si="1"/>
        <v>1</v>
      </c>
      <c r="J7" s="23"/>
      <c r="K7" s="23"/>
      <c r="L7" s="23"/>
      <c r="M7" s="23"/>
      <c r="N7" s="26" t="s">
        <v>24</v>
      </c>
      <c r="O7" s="23"/>
      <c r="P7" s="25"/>
      <c r="Q7" s="23"/>
      <c r="R7" s="25"/>
      <c r="S7" s="23"/>
      <c r="T7" s="25"/>
      <c r="U7" s="23"/>
    </row>
    <row r="8" ht="18" customHeight="1" spans="2:23">
      <c r="B8" s="10" t="s">
        <v>25</v>
      </c>
      <c r="C8" s="11">
        <v>0</v>
      </c>
      <c r="D8" s="11">
        <v>20</v>
      </c>
      <c r="E8" s="11" t="s">
        <v>18</v>
      </c>
      <c r="F8" s="11">
        <f t="shared" si="0"/>
        <v>30</v>
      </c>
      <c r="G8" s="15">
        <v>0</v>
      </c>
      <c r="H8" s="15">
        <f t="shared" si="1"/>
        <v>1</v>
      </c>
      <c r="J8" s="23" t="s">
        <v>24</v>
      </c>
      <c r="K8" s="23"/>
      <c r="L8" s="23"/>
      <c r="M8" s="23"/>
      <c r="N8" s="27"/>
      <c r="O8" s="23"/>
      <c r="P8" s="27"/>
      <c r="Q8" s="23"/>
      <c r="R8" s="27"/>
      <c r="S8" s="23"/>
      <c r="T8" s="27"/>
      <c r="U8" s="23"/>
    </row>
    <row r="9" ht="18" customHeight="1" spans="2:23">
      <c r="B9" s="6" t="s">
        <v>26</v>
      </c>
      <c r="C9" s="7">
        <v>0</v>
      </c>
      <c r="D9" s="7">
        <v>40</v>
      </c>
      <c r="E9" s="7" t="s">
        <v>18</v>
      </c>
      <c r="F9" s="7">
        <f t="shared" si="0"/>
        <v>30</v>
      </c>
      <c r="G9" s="9">
        <v>0</v>
      </c>
      <c r="H9" s="9">
        <f t="shared" si="1"/>
        <v>1</v>
      </c>
      <c r="J9" s="23" t="s">
        <v>27</v>
      </c>
      <c r="K9" s="23">
        <v>1</v>
      </c>
      <c r="L9" s="23"/>
      <c r="M9" s="23"/>
      <c r="N9" s="25"/>
      <c r="O9" s="23">
        <v>0.8</v>
      </c>
      <c r="P9" s="25"/>
      <c r="Q9" s="23">
        <v>0.2</v>
      </c>
      <c r="R9" s="25"/>
      <c r="S9" s="23">
        <v>-0.3</v>
      </c>
      <c r="T9" s="25"/>
      <c r="U9" s="23">
        <v>-0.7</v>
      </c>
    </row>
    <row r="10" ht="18" customHeight="1" spans="2:23">
      <c r="B10" s="10" t="s">
        <v>28</v>
      </c>
      <c r="C10" s="11">
        <v>0</v>
      </c>
      <c r="D10" s="11">
        <v>40</v>
      </c>
      <c r="E10" s="11" t="s">
        <v>18</v>
      </c>
      <c r="F10" s="11">
        <f t="shared" si="0"/>
        <v>30</v>
      </c>
      <c r="G10" s="15">
        <v>0</v>
      </c>
      <c r="H10" s="15">
        <f t="shared" si="1"/>
        <v>1</v>
      </c>
      <c r="J10" s="23">
        <v>30</v>
      </c>
      <c r="K10" s="23"/>
      <c r="L10" s="23" t="s">
        <v>29</v>
      </c>
      <c r="M10" s="23"/>
      <c r="N10" s="25">
        <v>1</v>
      </c>
      <c r="O10" s="23">
        <f>J10*O$9</f>
        <v>24</v>
      </c>
      <c r="P10" s="25">
        <v>2</v>
      </c>
      <c r="Q10" s="23">
        <f>J10*Q$9</f>
        <v>6</v>
      </c>
      <c r="R10" s="25">
        <v>3</v>
      </c>
      <c r="S10" s="23">
        <f>J10*S$9</f>
        <v>-9</v>
      </c>
      <c r="T10" s="25">
        <v>4</v>
      </c>
      <c r="U10" s="23">
        <f>J10*U$9</f>
        <v>-21</v>
      </c>
    </row>
    <row r="11" ht="18" customHeight="1" spans="2:23">
      <c r="B11" s="6" t="s">
        <v>30</v>
      </c>
      <c r="C11" s="7">
        <v>0</v>
      </c>
      <c r="D11" s="7">
        <v>60</v>
      </c>
      <c r="E11" s="7" t="s">
        <v>18</v>
      </c>
      <c r="F11" s="7">
        <f t="shared" si="0"/>
        <v>30</v>
      </c>
      <c r="G11" s="9">
        <v>0</v>
      </c>
      <c r="H11" s="9">
        <f t="shared" si="1"/>
        <v>1</v>
      </c>
      <c r="J11" s="23">
        <v>55</v>
      </c>
      <c r="K11" s="23"/>
      <c r="L11" s="23" t="s">
        <v>31</v>
      </c>
      <c r="M11" s="23"/>
      <c r="N11" s="25">
        <v>1</v>
      </c>
      <c r="O11" s="23">
        <f>J11*O$9</f>
        <v>44</v>
      </c>
      <c r="P11" s="25">
        <v>2</v>
      </c>
      <c r="Q11" s="23">
        <f t="shared" ref="Q11:Q23" si="2">J11*Q$9</f>
        <v>11</v>
      </c>
      <c r="R11" s="25">
        <v>3</v>
      </c>
      <c r="S11" s="23">
        <f t="shared" ref="S11:S23" si="3">J11*S$9</f>
        <v>-16.5</v>
      </c>
      <c r="T11" s="25">
        <v>4</v>
      </c>
      <c r="U11" s="23">
        <f t="shared" ref="U11:U23" si="4">J11*U$9</f>
        <v>-38.5</v>
      </c>
    </row>
    <row r="12" ht="18" customHeight="1" spans="2:23">
      <c r="B12" s="10" t="s">
        <v>32</v>
      </c>
      <c r="C12" s="11">
        <v>0</v>
      </c>
      <c r="D12" s="11">
        <v>60</v>
      </c>
      <c r="E12" s="11" t="s">
        <v>33</v>
      </c>
      <c r="F12" s="11">
        <f t="shared" si="0"/>
        <v>30</v>
      </c>
      <c r="G12" s="15">
        <v>0</v>
      </c>
      <c r="H12" s="15">
        <f t="shared" si="1"/>
        <v>1</v>
      </c>
      <c r="J12" s="23">
        <v>95</v>
      </c>
      <c r="K12" s="23"/>
      <c r="L12" s="23" t="s">
        <v>34</v>
      </c>
      <c r="M12" s="23"/>
      <c r="N12" s="25">
        <v>1</v>
      </c>
      <c r="O12" s="23">
        <f>J12*O$9</f>
        <v>76</v>
      </c>
      <c r="P12" s="25">
        <v>2</v>
      </c>
      <c r="Q12" s="23">
        <f t="shared" si="2"/>
        <v>19</v>
      </c>
      <c r="R12" s="25">
        <v>3</v>
      </c>
      <c r="S12" s="23">
        <f t="shared" si="3"/>
        <v>-28.5</v>
      </c>
      <c r="T12" s="25">
        <v>4</v>
      </c>
      <c r="U12" s="23">
        <f t="shared" si="4"/>
        <v>-66.5</v>
      </c>
    </row>
    <row r="13" ht="18" customHeight="1" spans="2:23">
      <c r="B13" s="16" t="s">
        <v>35</v>
      </c>
      <c r="C13" s="17">
        <v>0</v>
      </c>
      <c r="D13" s="17">
        <v>80</v>
      </c>
      <c r="E13" s="17" t="s">
        <v>33</v>
      </c>
      <c r="F13" s="17">
        <f t="shared" si="0"/>
        <v>30</v>
      </c>
      <c r="G13" s="28">
        <v>15</v>
      </c>
      <c r="H13" s="28">
        <f t="shared" si="1"/>
        <v>0.5</v>
      </c>
      <c r="J13" s="23">
        <v>135</v>
      </c>
      <c r="K13" s="23"/>
      <c r="L13" s="23" t="s">
        <v>36</v>
      </c>
      <c r="M13" s="23"/>
      <c r="N13" s="25">
        <v>1</v>
      </c>
      <c r="O13" s="23">
        <f t="shared" ref="O13:O23" si="5">J13*O$9</f>
        <v>108</v>
      </c>
      <c r="P13" s="25">
        <v>2</v>
      </c>
      <c r="Q13" s="23">
        <f t="shared" si="2"/>
        <v>27</v>
      </c>
      <c r="R13" s="25">
        <v>3</v>
      </c>
      <c r="S13" s="23">
        <f t="shared" si="3"/>
        <v>-40.5</v>
      </c>
      <c r="T13" s="25">
        <v>4</v>
      </c>
      <c r="U13" s="23">
        <f t="shared" si="4"/>
        <v>-94.5</v>
      </c>
    </row>
    <row r="14" ht="18" customHeight="1" spans="2:23">
      <c r="B14" s="2"/>
      <c r="C14" s="5" t="s">
        <v>8</v>
      </c>
      <c r="D14" s="5" t="s">
        <v>9</v>
      </c>
      <c r="E14" s="5" t="s">
        <v>10</v>
      </c>
      <c r="F14" s="5" t="s">
        <v>37</v>
      </c>
      <c r="G14" s="22" t="s">
        <v>12</v>
      </c>
      <c r="H14" s="22"/>
      <c r="J14" s="23" t="s">
        <v>38</v>
      </c>
      <c r="K14" s="23">
        <v>0.7</v>
      </c>
      <c r="L14" s="23"/>
      <c r="M14" s="23"/>
      <c r="N14" s="25"/>
      <c r="O14" s="23"/>
      <c r="P14" s="25"/>
      <c r="Q14" s="23"/>
      <c r="R14" s="25"/>
      <c r="S14" s="23"/>
      <c r="T14" s="25"/>
      <c r="U14" s="23"/>
    </row>
    <row r="15" ht="18" customHeight="1" spans="2:23">
      <c r="B15" s="6" t="s">
        <v>39</v>
      </c>
      <c r="C15" s="7">
        <v>1</v>
      </c>
      <c r="D15" s="7">
        <v>100</v>
      </c>
      <c r="E15" s="7" t="s">
        <v>33</v>
      </c>
      <c r="F15" s="7">
        <v>65</v>
      </c>
      <c r="G15" s="9">
        <v>35</v>
      </c>
      <c r="H15" s="9">
        <f t="shared" si="1"/>
        <v>0.461538461538462</v>
      </c>
      <c r="J15" s="23">
        <f>J10*K$14</f>
        <v>21</v>
      </c>
      <c r="K15" s="23"/>
      <c r="L15" s="23" t="s">
        <v>40</v>
      </c>
      <c r="M15" s="23"/>
      <c r="N15" s="25">
        <v>1</v>
      </c>
      <c r="O15" s="23">
        <f t="shared" si="5"/>
        <v>16.8</v>
      </c>
      <c r="P15" s="25">
        <v>2</v>
      </c>
      <c r="Q15" s="23">
        <f t="shared" si="2"/>
        <v>4.2</v>
      </c>
      <c r="R15" s="25">
        <v>3</v>
      </c>
      <c r="S15" s="23">
        <f t="shared" si="3"/>
        <v>-6.3</v>
      </c>
      <c r="T15" s="25">
        <v>4</v>
      </c>
      <c r="U15" s="23">
        <f t="shared" si="4"/>
        <v>-14.7</v>
      </c>
    </row>
    <row r="16" ht="18" customHeight="1" spans="2:23">
      <c r="B16" s="10" t="s">
        <v>41</v>
      </c>
      <c r="C16" s="11">
        <f>D16*0.5</f>
        <v>200</v>
      </c>
      <c r="D16" s="11">
        <v>400</v>
      </c>
      <c r="E16" s="11" t="s">
        <v>33</v>
      </c>
      <c r="F16" s="11">
        <v>65</v>
      </c>
      <c r="G16" s="15">
        <v>45</v>
      </c>
      <c r="H16" s="15">
        <f t="shared" si="1"/>
        <v>0.307692307692308</v>
      </c>
      <c r="J16" s="23">
        <f>J11*K$14</f>
        <v>38.5</v>
      </c>
      <c r="K16" s="23"/>
      <c r="L16" s="23" t="s">
        <v>42</v>
      </c>
      <c r="M16" s="23"/>
      <c r="N16" s="25">
        <v>1</v>
      </c>
      <c r="O16" s="23">
        <f t="shared" si="5"/>
        <v>30.8</v>
      </c>
      <c r="P16" s="25">
        <v>2</v>
      </c>
      <c r="Q16" s="23">
        <f t="shared" si="2"/>
        <v>7.7</v>
      </c>
      <c r="R16" s="25">
        <v>3</v>
      </c>
      <c r="S16" s="23">
        <f t="shared" si="3"/>
        <v>-11.55</v>
      </c>
      <c r="T16" s="25">
        <v>4</v>
      </c>
      <c r="U16" s="23">
        <f t="shared" si="4"/>
        <v>-26.95</v>
      </c>
    </row>
    <row r="17" ht="18" customHeight="1" spans="2:21">
      <c r="B17" s="6" t="s">
        <v>43</v>
      </c>
      <c r="C17" s="7">
        <f t="shared" ref="C17:C26" si="6">D17*0.5</f>
        <v>400</v>
      </c>
      <c r="D17" s="7">
        <v>800</v>
      </c>
      <c r="E17" s="7" t="s">
        <v>33</v>
      </c>
      <c r="F17" s="7">
        <v>65</v>
      </c>
      <c r="G17" s="9">
        <v>55</v>
      </c>
      <c r="H17" s="9">
        <f t="shared" si="1"/>
        <v>0.153846153846154</v>
      </c>
      <c r="J17" s="23">
        <f>J12*K$14</f>
        <v>66.5</v>
      </c>
      <c r="K17" s="23"/>
      <c r="L17" s="23" t="s">
        <v>44</v>
      </c>
      <c r="M17" s="23"/>
      <c r="N17" s="25">
        <v>1</v>
      </c>
      <c r="O17" s="23">
        <f t="shared" si="5"/>
        <v>53.2</v>
      </c>
      <c r="P17" s="25">
        <v>2</v>
      </c>
      <c r="Q17" s="23">
        <f t="shared" si="2"/>
        <v>13.3</v>
      </c>
      <c r="R17" s="25">
        <v>3</v>
      </c>
      <c r="S17" s="23">
        <f t="shared" si="3"/>
        <v>-19.95</v>
      </c>
      <c r="T17" s="25">
        <v>4</v>
      </c>
      <c r="U17" s="23">
        <f t="shared" si="4"/>
        <v>-46.55</v>
      </c>
    </row>
    <row r="18" ht="18" customHeight="1" spans="2:21">
      <c r="B18" s="29" t="s">
        <v>45</v>
      </c>
      <c r="C18" s="30">
        <f t="shared" si="6"/>
        <v>600</v>
      </c>
      <c r="D18" s="30">
        <v>1200</v>
      </c>
      <c r="E18" s="30" t="s">
        <v>33</v>
      </c>
      <c r="F18" s="30">
        <v>65</v>
      </c>
      <c r="G18" s="31">
        <v>65</v>
      </c>
      <c r="H18" s="31">
        <f t="shared" si="1"/>
        <v>0</v>
      </c>
      <c r="J18" s="23">
        <f>J13*K$14</f>
        <v>94.5</v>
      </c>
      <c r="K18" s="23"/>
      <c r="L18" s="23" t="s">
        <v>46</v>
      </c>
      <c r="M18" s="23"/>
      <c r="N18" s="25">
        <v>1</v>
      </c>
      <c r="O18" s="23">
        <f t="shared" si="5"/>
        <v>75.6</v>
      </c>
      <c r="P18" s="25">
        <v>2</v>
      </c>
      <c r="Q18" s="23">
        <f t="shared" si="2"/>
        <v>18.9</v>
      </c>
      <c r="R18" s="25">
        <v>3</v>
      </c>
      <c r="S18" s="23">
        <f t="shared" si="3"/>
        <v>-28.35</v>
      </c>
      <c r="T18" s="25">
        <v>4</v>
      </c>
      <c r="U18" s="23">
        <f t="shared" si="4"/>
        <v>-66.15</v>
      </c>
    </row>
    <row r="19" ht="18" customHeight="1" spans="2:21">
      <c r="B19" s="2"/>
      <c r="C19" s="5" t="s">
        <v>8</v>
      </c>
      <c r="D19" s="5" t="s">
        <v>9</v>
      </c>
      <c r="E19" s="5" t="s">
        <v>10</v>
      </c>
      <c r="F19" s="5" t="s">
        <v>47</v>
      </c>
      <c r="G19" s="22" t="s">
        <v>12</v>
      </c>
      <c r="H19" s="22"/>
      <c r="J19" s="23" t="s">
        <v>48</v>
      </c>
      <c r="K19" s="23">
        <v>0.49</v>
      </c>
      <c r="L19" s="23"/>
      <c r="M19" s="23"/>
      <c r="N19" s="25"/>
      <c r="O19" s="23"/>
      <c r="P19" s="25"/>
      <c r="Q19" s="23"/>
      <c r="R19" s="25"/>
      <c r="S19" s="23"/>
      <c r="T19" s="25"/>
      <c r="U19" s="23"/>
    </row>
    <row r="20" ht="18" customHeight="1" spans="2:21">
      <c r="B20" s="6" t="s">
        <v>49</v>
      </c>
      <c r="C20" s="7">
        <f t="shared" si="6"/>
        <v>800</v>
      </c>
      <c r="D20" s="7">
        <v>1600</v>
      </c>
      <c r="E20" s="7" t="s">
        <v>33</v>
      </c>
      <c r="F20" s="7">
        <v>105</v>
      </c>
      <c r="G20" s="9">
        <v>95</v>
      </c>
      <c r="H20" s="9">
        <f t="shared" si="1"/>
        <v>0.0952380952380952</v>
      </c>
      <c r="J20" s="23">
        <f>J10*K$19</f>
        <v>14.7</v>
      </c>
      <c r="K20" s="23"/>
      <c r="L20" s="23" t="s">
        <v>50</v>
      </c>
      <c r="M20" s="23"/>
      <c r="N20" s="25">
        <v>1</v>
      </c>
      <c r="O20" s="23">
        <f t="shared" si="5"/>
        <v>11.76</v>
      </c>
      <c r="P20" s="25">
        <v>2</v>
      </c>
      <c r="Q20" s="23">
        <f t="shared" si="2"/>
        <v>2.94</v>
      </c>
      <c r="R20" s="25">
        <v>3</v>
      </c>
      <c r="S20" s="23">
        <f t="shared" si="3"/>
        <v>-4.41</v>
      </c>
      <c r="T20" s="25">
        <v>4</v>
      </c>
      <c r="U20" s="23">
        <f t="shared" si="4"/>
        <v>-10.29</v>
      </c>
    </row>
    <row r="21" ht="18" customHeight="1" spans="2:21">
      <c r="B21" s="10" t="s">
        <v>51</v>
      </c>
      <c r="C21" s="11">
        <f t="shared" si="6"/>
        <v>1000</v>
      </c>
      <c r="D21" s="11">
        <v>2000</v>
      </c>
      <c r="E21" s="11" t="s">
        <v>33</v>
      </c>
      <c r="F21" s="11">
        <v>105</v>
      </c>
      <c r="G21" s="15">
        <v>105</v>
      </c>
      <c r="H21" s="15">
        <f t="shared" si="1"/>
        <v>0</v>
      </c>
      <c r="J21" s="23">
        <f>J11*K$19</f>
        <v>26.95</v>
      </c>
      <c r="K21" s="23"/>
      <c r="L21" s="23" t="s">
        <v>52</v>
      </c>
      <c r="M21" s="23"/>
      <c r="N21" s="25">
        <v>1</v>
      </c>
      <c r="O21" s="23">
        <f t="shared" si="5"/>
        <v>21.56</v>
      </c>
      <c r="P21" s="25">
        <v>2</v>
      </c>
      <c r="Q21" s="23">
        <f t="shared" si="2"/>
        <v>5.39</v>
      </c>
      <c r="R21" s="25">
        <v>3</v>
      </c>
      <c r="S21" s="23">
        <f t="shared" si="3"/>
        <v>-8.085</v>
      </c>
      <c r="T21" s="25">
        <v>4</v>
      </c>
      <c r="U21" s="23">
        <f t="shared" si="4"/>
        <v>-18.865</v>
      </c>
    </row>
    <row r="22" ht="18" customHeight="1" spans="2:21">
      <c r="B22" s="16" t="s">
        <v>53</v>
      </c>
      <c r="C22" s="17">
        <f t="shared" si="6"/>
        <v>1200</v>
      </c>
      <c r="D22" s="17">
        <v>2400</v>
      </c>
      <c r="E22" s="17" t="s">
        <v>33</v>
      </c>
      <c r="F22" s="17">
        <v>105</v>
      </c>
      <c r="G22" s="28">
        <v>120</v>
      </c>
      <c r="H22" s="28">
        <f t="shared" si="1"/>
        <v>-0.142857142857143</v>
      </c>
      <c r="J22" s="23">
        <f>J12*K$19</f>
        <v>46.55</v>
      </c>
      <c r="K22" s="23"/>
      <c r="L22" s="23" t="s">
        <v>54</v>
      </c>
      <c r="M22" s="23"/>
      <c r="N22" s="25">
        <v>1</v>
      </c>
      <c r="O22" s="23">
        <f t="shared" si="5"/>
        <v>37.24</v>
      </c>
      <c r="P22" s="25">
        <v>2</v>
      </c>
      <c r="Q22" s="23">
        <f t="shared" si="2"/>
        <v>9.31</v>
      </c>
      <c r="R22" s="25">
        <v>3</v>
      </c>
      <c r="S22" s="23">
        <f t="shared" si="3"/>
        <v>-13.965</v>
      </c>
      <c r="T22" s="25">
        <v>4</v>
      </c>
      <c r="U22" s="23">
        <f t="shared" si="4"/>
        <v>-32.585</v>
      </c>
    </row>
    <row r="23" ht="18" customHeight="1" spans="2:21">
      <c r="B23" s="2"/>
      <c r="C23" s="5" t="s">
        <v>8</v>
      </c>
      <c r="D23" s="5" t="s">
        <v>9</v>
      </c>
      <c r="E23" s="5" t="s">
        <v>10</v>
      </c>
      <c r="F23" s="5" t="s">
        <v>55</v>
      </c>
      <c r="G23" s="22" t="s">
        <v>12</v>
      </c>
      <c r="H23" s="22"/>
      <c r="J23" s="23">
        <f>J13*K$19</f>
        <v>66.15</v>
      </c>
      <c r="K23" s="23"/>
      <c r="L23" s="23" t="s">
        <v>56</v>
      </c>
      <c r="M23" s="23"/>
      <c r="N23" s="25">
        <v>1</v>
      </c>
      <c r="O23" s="23">
        <f t="shared" si="5"/>
        <v>52.92</v>
      </c>
      <c r="P23" s="25">
        <v>2</v>
      </c>
      <c r="Q23" s="23">
        <f t="shared" si="2"/>
        <v>13.23</v>
      </c>
      <c r="R23" s="25">
        <v>3</v>
      </c>
      <c r="S23" s="23">
        <f t="shared" si="3"/>
        <v>-19.845</v>
      </c>
      <c r="T23" s="25">
        <v>4</v>
      </c>
      <c r="U23" s="23">
        <f t="shared" si="4"/>
        <v>-46.305</v>
      </c>
    </row>
    <row r="24" ht="18" customHeight="1" spans="2:21">
      <c r="B24" s="6" t="s">
        <v>57</v>
      </c>
      <c r="C24" s="7">
        <f t="shared" si="6"/>
        <v>1400</v>
      </c>
      <c r="D24" s="7">
        <v>2800</v>
      </c>
      <c r="E24" s="7" t="s">
        <v>33</v>
      </c>
      <c r="F24" s="7">
        <v>135</v>
      </c>
      <c r="G24" s="9">
        <v>135</v>
      </c>
      <c r="H24" s="9">
        <f t="shared" si="1"/>
        <v>0</v>
      </c>
      <c r="J24" s="23"/>
      <c r="K24" s="23"/>
      <c r="L24" s="23"/>
      <c r="M24" s="23"/>
      <c r="N24" s="25"/>
      <c r="O24" s="23"/>
      <c r="P24" s="25"/>
      <c r="Q24" s="23"/>
      <c r="R24" s="25"/>
      <c r="S24" s="23"/>
      <c r="T24" s="25"/>
      <c r="U24" s="23"/>
    </row>
    <row r="25" ht="18" customHeight="1" spans="2:21">
      <c r="B25" s="10" t="s">
        <v>58</v>
      </c>
      <c r="C25" s="11">
        <f t="shared" si="6"/>
        <v>1600</v>
      </c>
      <c r="D25" s="11">
        <v>3200</v>
      </c>
      <c r="E25" s="11" t="s">
        <v>33</v>
      </c>
      <c r="F25" s="11">
        <v>135</v>
      </c>
      <c r="G25" s="15">
        <v>165</v>
      </c>
      <c r="H25" s="15">
        <f t="shared" si="1"/>
        <v>-0.222222222222222</v>
      </c>
      <c r="J25" s="23"/>
      <c r="K25" s="23"/>
      <c r="L25" s="23"/>
      <c r="M25" s="23"/>
      <c r="N25" s="25"/>
      <c r="O25" s="23"/>
      <c r="P25" s="25"/>
      <c r="Q25" s="23"/>
      <c r="R25" s="25"/>
      <c r="S25" s="23"/>
      <c r="T25" s="25"/>
      <c r="U25" s="23"/>
    </row>
    <row r="26" ht="18" customHeight="1" spans="2:21">
      <c r="B26" s="6" t="s">
        <v>59</v>
      </c>
      <c r="C26" s="7">
        <v>3200</v>
      </c>
      <c r="D26" s="7">
        <v>7000</v>
      </c>
      <c r="E26" s="7" t="s">
        <v>33</v>
      </c>
      <c r="F26" s="7">
        <v>135</v>
      </c>
      <c r="G26" s="9">
        <v>180</v>
      </c>
      <c r="H26" s="9">
        <f t="shared" si="1"/>
        <v>-0.333333333333333</v>
      </c>
      <c r="J26" s="23"/>
      <c r="K26" s="23"/>
      <c r="L26" s="23"/>
      <c r="M26" s="23"/>
      <c r="N26" s="25"/>
      <c r="O26" s="23"/>
      <c r="P26" s="25"/>
      <c r="Q26" s="23"/>
      <c r="R26" s="25"/>
      <c r="S26" s="23"/>
      <c r="T26" s="25"/>
      <c r="U26" s="23"/>
    </row>
    <row r="27" ht="18" customHeight="1" spans="2:21">
      <c r="B27" s="29" t="s">
        <v>60</v>
      </c>
      <c r="C27" s="32" t="s">
        <v>61</v>
      </c>
      <c r="D27" s="33"/>
      <c r="E27" s="33"/>
      <c r="F27" s="33"/>
      <c r="G27" s="33"/>
      <c r="H27" s="34"/>
      <c r="J27" s="23"/>
      <c r="K27" s="23"/>
      <c r="L27" s="23"/>
      <c r="M27" s="23"/>
      <c r="N27" s="25"/>
      <c r="O27" s="23"/>
      <c r="P27" s="25"/>
      <c r="Q27" s="23"/>
      <c r="R27" s="25"/>
      <c r="S27" s="23"/>
      <c r="T27" s="25"/>
      <c r="U27" s="23"/>
    </row>
    <row r="28" spans="2:21">
      <c r="D28" s="23"/>
      <c r="J28" s="23"/>
      <c r="K28" s="23"/>
      <c r="L28" s="23"/>
      <c r="M28" s="23"/>
      <c r="N28" s="25"/>
      <c r="O28" s="23"/>
      <c r="P28" s="25"/>
      <c r="Q28" s="23"/>
      <c r="R28" s="25"/>
      <c r="S28" s="23"/>
      <c r="T28" s="25"/>
      <c r="U28" s="23"/>
    </row>
    <row r="30" spans="2:21">
      <c r="B30" s="35" t="s">
        <v>62</v>
      </c>
      <c r="C30" s="35"/>
      <c r="D30" s="35"/>
      <c r="E30" s="35"/>
      <c r="F30" s="35"/>
      <c r="G30" s="35"/>
      <c r="H30" s="35"/>
    </row>
    <row r="31" spans="2:21">
      <c r="B31" s="23"/>
      <c r="C31" s="23" t="s">
        <v>8</v>
      </c>
      <c r="D31" s="23" t="s">
        <v>9</v>
      </c>
      <c r="E31" s="23" t="s">
        <v>10</v>
      </c>
      <c r="F31" s="23" t="s">
        <v>63</v>
      </c>
      <c r="G31" s="23" t="s">
        <v>12</v>
      </c>
      <c r="H31" s="23" t="s">
        <v>64</v>
      </c>
    </row>
    <row r="32" spans="2:21">
      <c r="B32" s="23" t="s">
        <v>17</v>
      </c>
      <c r="C32" s="23">
        <v>0</v>
      </c>
      <c r="D32" s="23">
        <v>20</v>
      </c>
      <c r="E32" s="23" t="s">
        <v>18</v>
      </c>
      <c r="F32" s="23">
        <v>45</v>
      </c>
      <c r="G32" s="23">
        <v>0</v>
      </c>
      <c r="H32" s="23">
        <f t="shared" ref="H32:H40" si="7">(F32-G32)/F32</f>
        <v>1</v>
      </c>
    </row>
    <row r="33" spans="2:8">
      <c r="B33" s="23" t="s">
        <v>22</v>
      </c>
      <c r="C33" s="23">
        <v>0</v>
      </c>
      <c r="D33" s="23">
        <v>20</v>
      </c>
      <c r="E33" s="23" t="s">
        <v>18</v>
      </c>
      <c r="F33" s="23">
        <v>45</v>
      </c>
      <c r="G33" s="23">
        <v>0</v>
      </c>
      <c r="H33" s="23">
        <f t="shared" si="7"/>
        <v>1</v>
      </c>
    </row>
    <row r="34" spans="2:8">
      <c r="B34" s="23" t="s">
        <v>23</v>
      </c>
      <c r="C34" s="23">
        <v>0</v>
      </c>
      <c r="D34" s="23">
        <v>20</v>
      </c>
      <c r="E34" s="23" t="s">
        <v>18</v>
      </c>
      <c r="F34" s="23">
        <v>45</v>
      </c>
      <c r="G34" s="23">
        <v>0</v>
      </c>
      <c r="H34" s="23">
        <f t="shared" si="7"/>
        <v>1</v>
      </c>
    </row>
    <row r="35" spans="2:8">
      <c r="B35" s="23" t="s">
        <v>25</v>
      </c>
      <c r="C35" s="23">
        <v>0</v>
      </c>
      <c r="D35" s="23">
        <v>20</v>
      </c>
      <c r="E35" s="23" t="s">
        <v>18</v>
      </c>
      <c r="F35" s="23">
        <v>45</v>
      </c>
      <c r="G35" s="23">
        <v>0</v>
      </c>
      <c r="H35" s="23">
        <f t="shared" si="7"/>
        <v>1</v>
      </c>
    </row>
    <row r="36" spans="2:8">
      <c r="B36" s="23" t="s">
        <v>26</v>
      </c>
      <c r="C36" s="23">
        <v>0</v>
      </c>
      <c r="D36" s="23">
        <v>40</v>
      </c>
      <c r="E36" s="23" t="s">
        <v>18</v>
      </c>
      <c r="F36" s="23">
        <v>45</v>
      </c>
      <c r="G36" s="23">
        <v>0</v>
      </c>
      <c r="H36" s="23">
        <f t="shared" si="7"/>
        <v>1</v>
      </c>
    </row>
    <row r="37" spans="2:8">
      <c r="B37" s="23" t="s">
        <v>28</v>
      </c>
      <c r="C37" s="23">
        <v>0</v>
      </c>
      <c r="D37" s="23">
        <v>60</v>
      </c>
      <c r="E37" s="23" t="s">
        <v>18</v>
      </c>
      <c r="F37" s="23">
        <v>45</v>
      </c>
      <c r="G37" s="23">
        <v>0</v>
      </c>
      <c r="H37" s="23">
        <f t="shared" si="7"/>
        <v>1</v>
      </c>
    </row>
    <row r="38" spans="2:8">
      <c r="B38" s="23" t="s">
        <v>30</v>
      </c>
      <c r="C38" s="23">
        <v>0</v>
      </c>
      <c r="D38" s="23">
        <v>80</v>
      </c>
      <c r="E38" s="23" t="s">
        <v>18</v>
      </c>
      <c r="F38" s="23">
        <v>45</v>
      </c>
      <c r="G38" s="23">
        <v>0</v>
      </c>
      <c r="H38" s="23">
        <f t="shared" si="7"/>
        <v>1</v>
      </c>
    </row>
    <row r="39" spans="2:8">
      <c r="B39" s="23" t="s">
        <v>32</v>
      </c>
      <c r="C39" s="23">
        <v>0</v>
      </c>
      <c r="D39" s="23">
        <v>100</v>
      </c>
      <c r="E39" s="23" t="s">
        <v>33</v>
      </c>
      <c r="F39" s="23">
        <v>45</v>
      </c>
      <c r="G39" s="23">
        <v>0</v>
      </c>
      <c r="H39" s="23">
        <f t="shared" si="7"/>
        <v>1</v>
      </c>
    </row>
    <row r="40" spans="2:8">
      <c r="B40" s="23" t="s">
        <v>35</v>
      </c>
      <c r="C40" s="23">
        <v>0</v>
      </c>
      <c r="D40" s="23">
        <v>100</v>
      </c>
      <c r="E40" s="23" t="s">
        <v>33</v>
      </c>
      <c r="F40" s="23">
        <v>45</v>
      </c>
      <c r="G40" s="23">
        <v>15</v>
      </c>
      <c r="H40" s="23">
        <f t="shared" si="7"/>
        <v>0.666666666666667</v>
      </c>
    </row>
    <row r="41" spans="2:8">
      <c r="B41" s="23"/>
      <c r="C41" s="23"/>
      <c r="D41" s="23"/>
      <c r="E41" s="23"/>
      <c r="F41" s="23"/>
      <c r="G41" s="23"/>
      <c r="H41" s="23"/>
    </row>
    <row r="42" spans="2:8">
      <c r="B42" s="23" t="s">
        <v>39</v>
      </c>
      <c r="C42" s="23">
        <v>1</v>
      </c>
      <c r="D42" s="23">
        <v>100</v>
      </c>
      <c r="E42" s="23" t="s">
        <v>33</v>
      </c>
      <c r="F42" s="23">
        <v>75</v>
      </c>
      <c r="G42" s="23">
        <v>30</v>
      </c>
      <c r="H42" s="23">
        <f t="shared" ref="H42:H45" si="8">(F42-G42)/F42</f>
        <v>0.6</v>
      </c>
    </row>
    <row r="43" spans="2:8">
      <c r="B43" s="23" t="s">
        <v>41</v>
      </c>
      <c r="C43" s="23">
        <f t="shared" ref="C43:C45" si="9">D43*0.5</f>
        <v>200</v>
      </c>
      <c r="D43" s="23">
        <v>400</v>
      </c>
      <c r="E43" s="23" t="s">
        <v>33</v>
      </c>
      <c r="F43" s="23">
        <v>75</v>
      </c>
      <c r="G43" s="23">
        <v>45</v>
      </c>
      <c r="H43" s="23">
        <f t="shared" si="8"/>
        <v>0.4</v>
      </c>
    </row>
    <row r="44" spans="2:8">
      <c r="B44" s="23" t="s">
        <v>43</v>
      </c>
      <c r="C44" s="23">
        <f t="shared" si="9"/>
        <v>400</v>
      </c>
      <c r="D44" s="23">
        <v>800</v>
      </c>
      <c r="E44" s="23" t="s">
        <v>33</v>
      </c>
      <c r="F44" s="23">
        <v>75</v>
      </c>
      <c r="G44" s="23">
        <v>60</v>
      </c>
      <c r="H44" s="23">
        <f t="shared" si="8"/>
        <v>0.2</v>
      </c>
    </row>
    <row r="45" spans="2:8">
      <c r="B45" s="23" t="s">
        <v>45</v>
      </c>
      <c r="C45" s="23">
        <f t="shared" si="9"/>
        <v>600</v>
      </c>
      <c r="D45" s="23">
        <v>1200</v>
      </c>
      <c r="E45" s="23" t="s">
        <v>33</v>
      </c>
      <c r="F45" s="23">
        <v>75</v>
      </c>
      <c r="G45" s="23">
        <v>75</v>
      </c>
      <c r="H45" s="23">
        <f t="shared" si="8"/>
        <v>0</v>
      </c>
    </row>
    <row r="46" spans="2:8">
      <c r="B46" s="23"/>
      <c r="C46" s="23"/>
      <c r="D46" s="23"/>
      <c r="E46" s="23"/>
      <c r="F46" s="23"/>
      <c r="G46" s="23"/>
      <c r="H46" s="23"/>
    </row>
    <row r="47" spans="2:8">
      <c r="B47" s="23" t="s">
        <v>49</v>
      </c>
      <c r="C47" s="23">
        <f t="shared" ref="C47:C49" si="10">D47*0.5</f>
        <v>800</v>
      </c>
      <c r="D47" s="23">
        <v>1600</v>
      </c>
      <c r="E47" s="23" t="s">
        <v>33</v>
      </c>
      <c r="F47" s="23">
        <v>105</v>
      </c>
      <c r="G47" s="23">
        <v>90</v>
      </c>
      <c r="H47" s="23">
        <f t="shared" ref="H47:H49" si="11">(F47-G47)/F47</f>
        <v>0.142857142857143</v>
      </c>
    </row>
    <row r="48" spans="2:8">
      <c r="B48" s="23" t="s">
        <v>51</v>
      </c>
      <c r="C48" s="23">
        <f t="shared" si="10"/>
        <v>1000</v>
      </c>
      <c r="D48" s="23">
        <v>2000</v>
      </c>
      <c r="E48" s="23" t="s">
        <v>33</v>
      </c>
      <c r="F48" s="23">
        <v>105</v>
      </c>
      <c r="G48" s="23">
        <v>105</v>
      </c>
      <c r="H48" s="23">
        <f t="shared" si="11"/>
        <v>0</v>
      </c>
    </row>
    <row r="49" spans="2:8">
      <c r="B49" s="23" t="s">
        <v>53</v>
      </c>
      <c r="C49" s="23">
        <f t="shared" si="10"/>
        <v>1200</v>
      </c>
      <c r="D49" s="23">
        <v>2400</v>
      </c>
      <c r="E49" s="23" t="s">
        <v>33</v>
      </c>
      <c r="F49" s="23">
        <v>105</v>
      </c>
      <c r="G49" s="23">
        <v>120</v>
      </c>
      <c r="H49" s="23">
        <f t="shared" si="11"/>
        <v>-0.142857142857143</v>
      </c>
    </row>
    <row r="50" spans="2:8">
      <c r="B50" s="23"/>
      <c r="C50" s="23"/>
      <c r="D50" s="23"/>
      <c r="E50" s="23"/>
      <c r="F50" s="23"/>
      <c r="G50" s="23"/>
      <c r="H50" s="23"/>
    </row>
    <row r="51" spans="2:8">
      <c r="B51" s="23" t="s">
        <v>57</v>
      </c>
      <c r="C51" s="23">
        <f t="shared" ref="C51:C54" si="12">D51*0.5</f>
        <v>1400</v>
      </c>
      <c r="D51" s="23">
        <v>2800</v>
      </c>
      <c r="E51" s="23" t="s">
        <v>33</v>
      </c>
      <c r="F51" s="23">
        <v>135</v>
      </c>
      <c r="G51" s="23">
        <v>135</v>
      </c>
      <c r="H51" s="23">
        <f t="shared" ref="H51:H54" si="13">(F51-G51)/F51</f>
        <v>0</v>
      </c>
    </row>
    <row r="52" spans="2:8">
      <c r="B52" s="23" t="s">
        <v>58</v>
      </c>
      <c r="C52" s="23">
        <f t="shared" si="12"/>
        <v>1600</v>
      </c>
      <c r="D52" s="23">
        <v>3200</v>
      </c>
      <c r="E52" s="23" t="s">
        <v>33</v>
      </c>
      <c r="F52" s="23">
        <v>135</v>
      </c>
      <c r="G52" s="23">
        <v>150</v>
      </c>
      <c r="H52" s="23">
        <f t="shared" si="13"/>
        <v>-0.111111111111111</v>
      </c>
    </row>
    <row r="53" spans="2:8">
      <c r="B53" s="23" t="s">
        <v>59</v>
      </c>
      <c r="C53" s="23">
        <f t="shared" si="12"/>
        <v>1800</v>
      </c>
      <c r="D53" s="23">
        <v>3600</v>
      </c>
      <c r="E53" s="23" t="s">
        <v>33</v>
      </c>
      <c r="F53" s="23">
        <v>135</v>
      </c>
      <c r="G53" s="23">
        <v>165</v>
      </c>
      <c r="H53" s="23">
        <f t="shared" si="13"/>
        <v>-0.222222222222222</v>
      </c>
    </row>
    <row r="54" spans="2:8">
      <c r="B54" s="23" t="s">
        <v>60</v>
      </c>
      <c r="C54" s="23">
        <f t="shared" si="12"/>
        <v>2000</v>
      </c>
      <c r="D54" s="23">
        <v>4000</v>
      </c>
      <c r="E54" s="23" t="s">
        <v>33</v>
      </c>
      <c r="F54" s="23">
        <v>135</v>
      </c>
      <c r="G54" s="23">
        <v>180</v>
      </c>
      <c r="H54" s="23">
        <f t="shared" si="13"/>
        <v>-0.333333333333333</v>
      </c>
    </row>
  </sheetData>
  <mergeCells count="34">
    <mergeCell ref="K2:O2"/>
    <mergeCell ref="P2:W2"/>
    <mergeCell ref="K3:O3"/>
    <mergeCell ref="P3:W3"/>
    <mergeCell ref="K4:O4"/>
    <mergeCell ref="P4:W4"/>
    <mergeCell ref="P5:W5"/>
    <mergeCell ref="J8:U8"/>
    <mergeCell ref="J10:K10"/>
    <mergeCell ref="L10:M10"/>
    <mergeCell ref="J11:K11"/>
    <mergeCell ref="L11:M11"/>
    <mergeCell ref="J12:K12"/>
    <mergeCell ref="L12:M12"/>
    <mergeCell ref="J13:K13"/>
    <mergeCell ref="L13:M13"/>
    <mergeCell ref="J15:K15"/>
    <mergeCell ref="L15:M15"/>
    <mergeCell ref="J16:K16"/>
    <mergeCell ref="L16:M16"/>
    <mergeCell ref="J17:K17"/>
    <mergeCell ref="L17:M17"/>
    <mergeCell ref="J18:K18"/>
    <mergeCell ref="L18:M18"/>
    <mergeCell ref="J20:K20"/>
    <mergeCell ref="L20:M20"/>
    <mergeCell ref="J21:K21"/>
    <mergeCell ref="L21:M21"/>
    <mergeCell ref="J22:K22"/>
    <mergeCell ref="L22:M22"/>
    <mergeCell ref="J23:K23"/>
    <mergeCell ref="L23:M23"/>
    <mergeCell ref="C27:H27"/>
    <mergeCell ref="B30:H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Q21"/>
  <sheetViews>
    <sheetView zoomScale="25" zoomScaleNormal="25" topLeftCell="F6" workbookViewId="0">
      <selection activeCell="F6" sqref="F6:Q21"/>
    </sheetView>
  </sheetViews>
  <sheetFormatPr defaultColWidth="9" defaultRowHeight="18" customHeight="1"/>
  <cols>
    <col min="4" max="4" width="7.5" customWidth="1"/>
    <col min="5" max="5" width="0.5" customWidth="1"/>
    <col min="6" max="6" width="12" customWidth="1"/>
    <col min="7" max="7" width="4.5" customWidth="1"/>
    <col min="9" max="9" width="4.5" customWidth="1"/>
    <col min="10" max="10" width="3.125" customWidth="1"/>
    <col min="11" max="11" width="11.5" customWidth="1"/>
    <col min="12" max="12" width="2.875" customWidth="1"/>
    <col min="13" max="13" width="10.5" customWidth="1"/>
    <col min="14" max="14" width="3" customWidth="1"/>
    <col min="15" max="15" width="17.625" style="1" customWidth="1"/>
    <col min="16" max="16" width="2.625" customWidth="1"/>
    <col min="17" max="17" width="18" customWidth="1"/>
  </cols>
  <sheetData>
    <row r="6" customHeight="1" spans="6:17">
      <c r="F6" s="2" t="s">
        <v>65</v>
      </c>
      <c r="G6" s="2"/>
      <c r="H6" s="3" t="s">
        <v>66</v>
      </c>
      <c r="I6" s="4"/>
      <c r="J6" s="5" t="s">
        <v>67</v>
      </c>
      <c r="K6" s="5"/>
      <c r="L6" s="5" t="s">
        <v>68</v>
      </c>
      <c r="M6" s="5"/>
      <c r="N6" s="5" t="s">
        <v>69</v>
      </c>
      <c r="O6" s="5"/>
      <c r="P6" s="5" t="s">
        <v>70</v>
      </c>
      <c r="Q6" s="5"/>
    </row>
    <row r="7" customHeight="1" spans="6:17">
      <c r="F7" s="6" t="s">
        <v>27</v>
      </c>
      <c r="G7" s="7">
        <v>1</v>
      </c>
      <c r="H7" s="7"/>
      <c r="I7" s="7"/>
      <c r="J7" s="7"/>
      <c r="K7" s="7">
        <v>0.8</v>
      </c>
      <c r="L7" s="7"/>
      <c r="M7" s="7">
        <v>0.2</v>
      </c>
      <c r="N7" s="7"/>
      <c r="O7" s="8">
        <v>-0.3</v>
      </c>
      <c r="P7" s="7"/>
      <c r="Q7" s="9">
        <v>-0.7</v>
      </c>
    </row>
    <row r="8" customHeight="1" spans="6:17">
      <c r="F8" s="10">
        <v>30</v>
      </c>
      <c r="G8" s="10"/>
      <c r="H8" s="11" t="s">
        <v>29</v>
      </c>
      <c r="I8" s="11"/>
      <c r="J8" s="11">
        <v>1</v>
      </c>
      <c r="K8" s="11">
        <f>F8*G$7*K$7</f>
        <v>24</v>
      </c>
      <c r="L8" s="11">
        <v>2</v>
      </c>
      <c r="M8" s="11">
        <f>F8*G$7*M$7</f>
        <v>6</v>
      </c>
      <c r="N8" s="11">
        <v>3</v>
      </c>
      <c r="O8" s="12" t="s">
        <v>71</v>
      </c>
      <c r="P8" s="11">
        <v>4</v>
      </c>
      <c r="Q8" s="13" t="s">
        <v>72</v>
      </c>
    </row>
    <row r="9" customHeight="1" spans="6:17">
      <c r="F9" s="6">
        <v>65</v>
      </c>
      <c r="G9" s="6"/>
      <c r="H9" s="7" t="s">
        <v>31</v>
      </c>
      <c r="I9" s="7"/>
      <c r="J9" s="7">
        <v>1</v>
      </c>
      <c r="K9" s="7">
        <f>F9*G$7*K$7</f>
        <v>52</v>
      </c>
      <c r="L9" s="7">
        <v>2</v>
      </c>
      <c r="M9" s="7">
        <f t="shared" ref="M9:M21" si="0">F9*G$7*M$7</f>
        <v>13</v>
      </c>
      <c r="N9" s="7">
        <v>3</v>
      </c>
      <c r="O9" s="8" t="s">
        <v>71</v>
      </c>
      <c r="P9" s="7">
        <v>4</v>
      </c>
      <c r="Q9" s="14" t="s">
        <v>72</v>
      </c>
    </row>
    <row r="10" customHeight="1" spans="6:17">
      <c r="F10" s="10">
        <v>95</v>
      </c>
      <c r="G10" s="10"/>
      <c r="H10" s="11" t="s">
        <v>34</v>
      </c>
      <c r="I10" s="11"/>
      <c r="J10" s="11">
        <v>1</v>
      </c>
      <c r="K10" s="11">
        <f>F10*G$7*K$7</f>
        <v>76</v>
      </c>
      <c r="L10" s="11">
        <v>2</v>
      </c>
      <c r="M10" s="11">
        <f t="shared" si="0"/>
        <v>19</v>
      </c>
      <c r="N10" s="11">
        <v>3</v>
      </c>
      <c r="O10" s="12" t="s">
        <v>71</v>
      </c>
      <c r="P10" s="11">
        <v>4</v>
      </c>
      <c r="Q10" s="13" t="s">
        <v>72</v>
      </c>
    </row>
    <row r="11" customHeight="1" spans="6:17">
      <c r="F11" s="6">
        <v>135</v>
      </c>
      <c r="G11" s="6"/>
      <c r="H11" s="7" t="s">
        <v>36</v>
      </c>
      <c r="I11" s="7"/>
      <c r="J11" s="7">
        <v>1</v>
      </c>
      <c r="K11" s="7">
        <f>F11*G$7*K$7</f>
        <v>108</v>
      </c>
      <c r="L11" s="7">
        <v>2</v>
      </c>
      <c r="M11" s="7">
        <f t="shared" si="0"/>
        <v>27</v>
      </c>
      <c r="N11" s="7">
        <v>3</v>
      </c>
      <c r="O11" s="8" t="s">
        <v>71</v>
      </c>
      <c r="P11" s="7">
        <v>4</v>
      </c>
      <c r="Q11" s="14" t="s">
        <v>72</v>
      </c>
    </row>
    <row r="12" customHeight="1" spans="6:17">
      <c r="F12" s="10" t="s">
        <v>38</v>
      </c>
      <c r="G12" s="11">
        <v>0.7</v>
      </c>
      <c r="H12" s="11"/>
      <c r="I12" s="11"/>
      <c r="J12" s="11"/>
      <c r="K12" s="11"/>
      <c r="L12" s="11"/>
      <c r="M12" s="11"/>
      <c r="N12" s="11"/>
      <c r="O12" s="12"/>
      <c r="P12" s="11"/>
      <c r="Q12" s="15"/>
    </row>
    <row r="13" customHeight="1" spans="6:17">
      <c r="F13" s="6">
        <f>F8*G$12</f>
        <v>21</v>
      </c>
      <c r="G13" s="6"/>
      <c r="H13" s="7" t="s">
        <v>40</v>
      </c>
      <c r="I13" s="7"/>
      <c r="J13" s="7">
        <v>1</v>
      </c>
      <c r="K13" s="7">
        <f>F13*G$12*K$7</f>
        <v>11.76</v>
      </c>
      <c r="L13" s="7">
        <v>2</v>
      </c>
      <c r="M13" s="7">
        <f t="shared" si="0"/>
        <v>4.2</v>
      </c>
      <c r="N13" s="7">
        <v>3</v>
      </c>
      <c r="O13" s="8" t="s">
        <v>73</v>
      </c>
      <c r="P13" s="7">
        <v>4</v>
      </c>
      <c r="Q13" s="14" t="s">
        <v>74</v>
      </c>
    </row>
    <row r="14" customHeight="1" spans="6:17">
      <c r="F14" s="10">
        <f>F9*G$12</f>
        <v>45.5</v>
      </c>
      <c r="G14" s="10"/>
      <c r="H14" s="11" t="s">
        <v>42</v>
      </c>
      <c r="I14" s="11"/>
      <c r="J14" s="11">
        <v>1</v>
      </c>
      <c r="K14" s="11">
        <f>F14*G$12*K$7</f>
        <v>25.48</v>
      </c>
      <c r="L14" s="11">
        <v>2</v>
      </c>
      <c r="M14" s="11">
        <f t="shared" si="0"/>
        <v>9.1</v>
      </c>
      <c r="N14" s="11">
        <v>3</v>
      </c>
      <c r="O14" s="12" t="s">
        <v>73</v>
      </c>
      <c r="P14" s="11">
        <v>4</v>
      </c>
      <c r="Q14" s="13" t="s">
        <v>74</v>
      </c>
    </row>
    <row r="15" customHeight="1" spans="6:17">
      <c r="F15" s="6">
        <f>F10*G$12</f>
        <v>66.5</v>
      </c>
      <c r="G15" s="6"/>
      <c r="H15" s="7" t="s">
        <v>44</v>
      </c>
      <c r="I15" s="7"/>
      <c r="J15" s="7">
        <v>1</v>
      </c>
      <c r="K15" s="7">
        <f>F15*G$12*K$7</f>
        <v>37.24</v>
      </c>
      <c r="L15" s="7">
        <v>2</v>
      </c>
      <c r="M15" s="7">
        <f t="shared" si="0"/>
        <v>13.3</v>
      </c>
      <c r="N15" s="7">
        <v>3</v>
      </c>
      <c r="O15" s="8" t="s">
        <v>73</v>
      </c>
      <c r="P15" s="7">
        <v>4</v>
      </c>
      <c r="Q15" s="14" t="s">
        <v>74</v>
      </c>
    </row>
    <row r="16" customHeight="1" spans="6:17">
      <c r="F16" s="10">
        <f>F11*G$12</f>
        <v>94.5</v>
      </c>
      <c r="G16" s="10"/>
      <c r="H16" s="11" t="s">
        <v>46</v>
      </c>
      <c r="I16" s="11"/>
      <c r="J16" s="11">
        <v>1</v>
      </c>
      <c r="K16" s="11">
        <f>F16*G$12*K$7</f>
        <v>52.92</v>
      </c>
      <c r="L16" s="11">
        <v>2</v>
      </c>
      <c r="M16" s="11">
        <f t="shared" si="0"/>
        <v>18.9</v>
      </c>
      <c r="N16" s="11">
        <v>3</v>
      </c>
      <c r="O16" s="12" t="s">
        <v>73</v>
      </c>
      <c r="P16" s="11">
        <v>4</v>
      </c>
      <c r="Q16" s="13" t="s">
        <v>74</v>
      </c>
    </row>
    <row r="17" customHeight="1" spans="6:17">
      <c r="F17" s="6" t="s">
        <v>48</v>
      </c>
      <c r="G17" s="7">
        <v>0.49</v>
      </c>
      <c r="H17" s="7"/>
      <c r="I17" s="7"/>
      <c r="J17" s="7"/>
      <c r="K17" s="7"/>
      <c r="L17" s="7"/>
      <c r="M17" s="7"/>
      <c r="N17" s="7"/>
      <c r="O17" s="8"/>
      <c r="P17" s="7"/>
      <c r="Q17" s="9"/>
    </row>
    <row r="18" customHeight="1" spans="6:17">
      <c r="F18" s="10">
        <f>F8*G$17</f>
        <v>14.7</v>
      </c>
      <c r="G18" s="10"/>
      <c r="H18" s="11" t="s">
        <v>50</v>
      </c>
      <c r="I18" s="11"/>
      <c r="J18" s="11">
        <v>1</v>
      </c>
      <c r="K18" s="11">
        <f>F18*G$17*K$7</f>
        <v>5.7624</v>
      </c>
      <c r="L18" s="11">
        <v>2</v>
      </c>
      <c r="M18" s="11">
        <f t="shared" si="0"/>
        <v>2.94</v>
      </c>
      <c r="N18" s="11">
        <v>3</v>
      </c>
      <c r="O18" s="12" t="s">
        <v>75</v>
      </c>
      <c r="P18" s="11">
        <v>4</v>
      </c>
      <c r="Q18" s="13" t="s">
        <v>76</v>
      </c>
    </row>
    <row r="19" customHeight="1" spans="6:17">
      <c r="F19" s="6">
        <f>F9*G$17</f>
        <v>31.85</v>
      </c>
      <c r="G19" s="6"/>
      <c r="H19" s="7" t="s">
        <v>52</v>
      </c>
      <c r="I19" s="7"/>
      <c r="J19" s="7">
        <v>1</v>
      </c>
      <c r="K19" s="7">
        <f>F19*G$17*K$7</f>
        <v>12.4852</v>
      </c>
      <c r="L19" s="7">
        <v>2</v>
      </c>
      <c r="M19" s="7">
        <f t="shared" si="0"/>
        <v>6.37</v>
      </c>
      <c r="N19" s="7">
        <v>3</v>
      </c>
      <c r="O19" s="8" t="s">
        <v>75</v>
      </c>
      <c r="P19" s="7">
        <v>4</v>
      </c>
      <c r="Q19" s="14" t="s">
        <v>76</v>
      </c>
    </row>
    <row r="20" customHeight="1" spans="6:17">
      <c r="F20" s="10">
        <f>F10*G$17</f>
        <v>46.55</v>
      </c>
      <c r="G20" s="10"/>
      <c r="H20" s="11" t="s">
        <v>54</v>
      </c>
      <c r="I20" s="11"/>
      <c r="J20" s="11">
        <v>1</v>
      </c>
      <c r="K20" s="11">
        <f>F20*G$17*K$7</f>
        <v>18.2476</v>
      </c>
      <c r="L20" s="11">
        <v>2</v>
      </c>
      <c r="M20" s="11">
        <f t="shared" si="0"/>
        <v>9.31</v>
      </c>
      <c r="N20" s="11">
        <v>3</v>
      </c>
      <c r="O20" s="12" t="s">
        <v>75</v>
      </c>
      <c r="P20" s="11">
        <v>4</v>
      </c>
      <c r="Q20" s="13" t="s">
        <v>76</v>
      </c>
    </row>
    <row r="21" customHeight="1" spans="6:17">
      <c r="F21" s="16">
        <f>F11*G$17</f>
        <v>66.15</v>
      </c>
      <c r="G21" s="16"/>
      <c r="H21" s="17" t="s">
        <v>56</v>
      </c>
      <c r="I21" s="17"/>
      <c r="J21" s="17">
        <v>1</v>
      </c>
      <c r="K21" s="17">
        <f>F21*G$17*K$7</f>
        <v>25.9308</v>
      </c>
      <c r="L21" s="17">
        <v>2</v>
      </c>
      <c r="M21" s="7">
        <f t="shared" si="0"/>
        <v>13.23</v>
      </c>
      <c r="N21" s="17">
        <v>3</v>
      </c>
      <c r="O21" s="18" t="s">
        <v>75</v>
      </c>
      <c r="P21" s="17">
        <v>4</v>
      </c>
      <c r="Q21" s="19" t="s">
        <v>76</v>
      </c>
    </row>
  </sheetData>
  <mergeCells count="30">
    <mergeCell ref="F6:G6"/>
    <mergeCell ref="H6:I6"/>
    <mergeCell ref="J6:K6"/>
    <mergeCell ref="L6:M6"/>
    <mergeCell ref="N6:O6"/>
    <mergeCell ref="P6:Q6"/>
    <mergeCell ref="F8:G8"/>
    <mergeCell ref="H8:I8"/>
    <mergeCell ref="F9:G9"/>
    <mergeCell ref="H9:I9"/>
    <mergeCell ref="F10:G10"/>
    <mergeCell ref="H10:I10"/>
    <mergeCell ref="F11:G11"/>
    <mergeCell ref="H11:I11"/>
    <mergeCell ref="F13:G13"/>
    <mergeCell ref="H13:I13"/>
    <mergeCell ref="F14:G14"/>
    <mergeCell ref="H14:I14"/>
    <mergeCell ref="F15:G15"/>
    <mergeCell ref="H15:I15"/>
    <mergeCell ref="F16:G16"/>
    <mergeCell ref="H16:I16"/>
    <mergeCell ref="F18:G18"/>
    <mergeCell ref="H18:I18"/>
    <mergeCell ref="F19:G19"/>
    <mergeCell ref="H19:I19"/>
    <mergeCell ref="F20:G20"/>
    <mergeCell ref="H20:I20"/>
    <mergeCell ref="F21:G21"/>
    <mergeCell ref="H21:I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7" sqref="N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xel'naga</cp:lastModifiedBy>
  <dcterms:created xsi:type="dcterms:W3CDTF">2023-05-12T11:15:00Z</dcterms:created>
  <dcterms:modified xsi:type="dcterms:W3CDTF">2026-07-17T18:25:50Z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A17D4A76AFA7496C9DFA8AA516109FE4_13</vt:lpwstr>
  </property>
</Properties>
</file>